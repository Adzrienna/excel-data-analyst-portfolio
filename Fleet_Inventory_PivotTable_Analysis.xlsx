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Montgomery_Fleet_Equipment_Inve" sheetId="1" r:id="rId1"/>
    <sheet name="Pivot table 1" sheetId="2" r:id="rId2"/>
    <sheet name="Pivot table 2" sheetId="3" r:id="rId3"/>
    <sheet name="Pivot table 3" sheetId="4" r:id="rId4"/>
  </sheets>
  <definedNames>
    <definedName name="_xlnm._FilterDatabase" localSheetId="0" hidden="1">Montgomery_Fleet_Equipment_Inve!$A$1:$C$50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<sst xmlns="http://schemas.openxmlformats.org/spreadsheetml/2006/main" count="214" uniqueCount="37">
  <si>
    <t>Department</t>
  </si>
  <si>
    <t>Equipment Class</t>
  </si>
  <si>
    <t>Equipment Count</t>
  </si>
  <si>
    <t>Housing and Community Affairs</t>
  </si>
  <si>
    <t>Pick Up Trucks</t>
  </si>
  <si>
    <t>SUV</t>
  </si>
  <si>
    <t>Sedan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</si>
  <si>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</si>
  <si>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</si>
  <si>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</si>
  <si>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</si>
  <si>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</si>
  <si>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</si>
  <si>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</si>
  <si>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</si>
  <si>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</si>
  <si>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</si>
  <si>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</si>
  <si>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Off Road Vehicle Equipment</t>
  </si>
  <si>
    <t>Sheriffs Office</t>
  </si>
  <si>
    <t>Public Safety SUV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</si>
  <si>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</si>
  <si>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</si>
  <si>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</si>
  <si>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</si>
  <si>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</si>
  <si>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</si>
  <si>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</si>
  <si>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</si>
  <si>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Total:</t>
  </si>
  <si>
    <t>Average:</t>
  </si>
  <si>
    <t>Min:</t>
  </si>
  <si>
    <t>Max:</t>
  </si>
  <si>
    <t>Count:</t>
  </si>
  <si>
    <t>Row Labels</t>
  </si>
  <si>
    <t>Sum of Equipment Count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</si>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</sst>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314.9225228009" refreshedBy="ACER" recordCount="49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65" firstHeaderRow="1" firstDataRow="1" firstDataCol="1"/>
  <pivotFields count="3">
    <pivotField axis="axisRow" sortType="descending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6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 r="1">
      <x/>
    </i>
    <i r="1">
      <x v="4"/>
    </i>
    <i r="1">
      <x v="10"/>
    </i>
    <i r="1">
      <x v="11"/>
    </i>
    <i r="1">
      <x v="13"/>
    </i>
    <i>
      <x v="8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 v="1"/>
    </i>
    <i r="1">
      <x v="10"/>
    </i>
    <i r="1">
      <x v="11"/>
    </i>
    <i r="1">
      <x v="13"/>
    </i>
    <i>
      <x/>
    </i>
    <i r="1">
      <x v="4"/>
    </i>
    <i r="1">
      <x v="10"/>
    </i>
    <i r="1">
      <x v="11"/>
    </i>
    <i>
      <x v="7"/>
    </i>
    <i r="1">
      <x v="3"/>
    </i>
    <i r="1">
      <x v="4"/>
    </i>
    <i r="1">
      <x v="10"/>
    </i>
    <i r="1">
      <x v="11"/>
    </i>
    <i r="1">
      <x v="13"/>
    </i>
    <i>
      <x v="10"/>
    </i>
    <i r="1">
      <x/>
    </i>
    <i r="1">
      <x v="4"/>
    </i>
    <i r="1">
      <x v="11"/>
    </i>
    <i r="1">
      <x v="13"/>
    </i>
    <i>
      <x v="2"/>
    </i>
    <i r="1">
      <x v="2"/>
    </i>
    <i r="1">
      <x v="4"/>
    </i>
    <i r="1">
      <x v="13"/>
    </i>
    <i>
      <x v="9"/>
    </i>
    <i r="1">
      <x v="7"/>
    </i>
    <i r="1">
      <x v="10"/>
    </i>
    <i r="1">
      <x v="11"/>
    </i>
    <i r="1">
      <x v="13"/>
    </i>
    <i>
      <x v="1"/>
    </i>
    <i r="1">
      <x v="10"/>
    </i>
    <i>
      <x v="4"/>
    </i>
    <i r="1">
      <x v="11"/>
    </i>
    <i>
      <x v="6"/>
    </i>
    <i r="1"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25" firstHeaderRow="1" firstDataRow="1" firstDataCol="1"/>
  <pivotFields count="3">
    <pivotField axis="axisRow" sortType="descending"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21" firstHeaderRow="1" firstDataRow="1" firstDataCol="1"/>
  <pivotFields count="3">
    <pivotField axis="axisRow" sortType="descending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C51" totalsRowCount="1">
  <autoFilter xmlns:etc="http://www.wps.cn/officeDocument/2017/etCustomData" ref="A1:C50" etc:filterBottomFollowUsedRange="0"/>
  <tableColumns count="3">
    <tableColumn id="1" name="Department" totalsRowLabel="Total:"/>
    <tableColumn id="2" name="Equipment Class"/>
    <tableColumn id="3" name="Equipment Count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37" workbookViewId="0">
      <selection activeCell="C52" sqref="C52"/>
    </sheetView>
  </sheetViews>
  <sheetFormatPr defaultColWidth="9" defaultRowHeight="14.5" outlineLevelCol="2"/>
  <cols>
    <col min="1" max="1" width="29.4545454545455" customWidth="1"/>
    <col min="2" max="2" width="26.1818181818182" customWidth="1"/>
    <col min="3" max="3" width="17.363636363636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21</v>
      </c>
    </row>
    <row r="3" spans="1:3">
      <c r="A3" t="s">
        <v>3</v>
      </c>
      <c r="B3" t="s">
        <v>5</v>
      </c>
      <c r="C3">
        <v>1</v>
      </c>
    </row>
    <row r="4" spans="1:3">
      <c r="A4" t="s">
        <v>3</v>
      </c>
      <c r="B4" t="s">
        <v>6</v>
      </c>
      <c r="C4">
        <v>23</v>
      </c>
    </row>
    <row r="5" spans="1:3">
      <c r="A5" t="s">
        <v>7</v>
      </c>
      <c r="B5" t="s">
        <v>6</v>
      </c>
      <c r="C5">
        <v>2</v>
      </c>
    </row>
    <row r="6" spans="1:3">
      <c r="A6" t="s">
        <v>8</v>
      </c>
      <c r="B6" t="s">
        <v>4</v>
      </c>
      <c r="C6">
        <v>3</v>
      </c>
    </row>
    <row r="7" spans="1:3">
      <c r="A7" t="s">
        <v>8</v>
      </c>
      <c r="B7" t="s">
        <v>9</v>
      </c>
      <c r="C7">
        <v>2</v>
      </c>
    </row>
    <row r="8" spans="1:3">
      <c r="A8" t="s">
        <v>8</v>
      </c>
      <c r="B8" t="s">
        <v>10</v>
      </c>
      <c r="C8">
        <v>1</v>
      </c>
    </row>
    <row r="9" spans="1:3">
      <c r="A9" t="s">
        <v>11</v>
      </c>
      <c r="B9" t="s">
        <v>9</v>
      </c>
      <c r="C9">
        <v>2</v>
      </c>
    </row>
    <row r="10" spans="1:3">
      <c r="A10" t="s">
        <v>11</v>
      </c>
      <c r="B10" t="s">
        <v>12</v>
      </c>
      <c r="C10">
        <v>42</v>
      </c>
    </row>
    <row r="11" spans="1:3">
      <c r="A11" t="s">
        <v>11</v>
      </c>
      <c r="B11" t="s">
        <v>5</v>
      </c>
      <c r="C11">
        <v>1</v>
      </c>
    </row>
    <row r="12" spans="1:3">
      <c r="A12" t="s">
        <v>11</v>
      </c>
      <c r="B12" t="s">
        <v>6</v>
      </c>
      <c r="C12">
        <v>11</v>
      </c>
    </row>
    <row r="13" spans="1:3">
      <c r="A13" t="s">
        <v>13</v>
      </c>
      <c r="B13" t="s">
        <v>5</v>
      </c>
      <c r="C13">
        <v>1</v>
      </c>
    </row>
    <row r="14" spans="1:3">
      <c r="A14" t="s">
        <v>14</v>
      </c>
      <c r="B14" t="s">
        <v>15</v>
      </c>
      <c r="C14">
        <v>9</v>
      </c>
    </row>
    <row r="15" spans="1:3">
      <c r="A15" t="s">
        <v>14</v>
      </c>
      <c r="B15" t="s">
        <v>5</v>
      </c>
      <c r="C15">
        <v>27</v>
      </c>
    </row>
    <row r="16" spans="1:3">
      <c r="A16" t="s">
        <v>14</v>
      </c>
      <c r="B16" t="s">
        <v>4</v>
      </c>
      <c r="C16">
        <v>24</v>
      </c>
    </row>
    <row r="17" spans="1:3">
      <c r="A17" t="s">
        <v>14</v>
      </c>
      <c r="B17" t="s">
        <v>9</v>
      </c>
      <c r="C17">
        <v>1</v>
      </c>
    </row>
    <row r="18" spans="1:3">
      <c r="A18" t="s">
        <v>14</v>
      </c>
      <c r="B18" t="s">
        <v>6</v>
      </c>
      <c r="C18">
        <v>48</v>
      </c>
    </row>
    <row r="19" spans="1:3">
      <c r="A19" t="s">
        <v>16</v>
      </c>
      <c r="B19" t="s">
        <v>9</v>
      </c>
      <c r="C19">
        <v>1</v>
      </c>
    </row>
    <row r="20" spans="1:3">
      <c r="A20" t="s">
        <v>17</v>
      </c>
      <c r="B20" t="s">
        <v>6</v>
      </c>
      <c r="C20">
        <v>6</v>
      </c>
    </row>
    <row r="21" spans="1:3">
      <c r="A21" t="s">
        <v>17</v>
      </c>
      <c r="B21" t="s">
        <v>4</v>
      </c>
      <c r="C21">
        <v>5</v>
      </c>
    </row>
    <row r="22" spans="1:3">
      <c r="A22" t="s">
        <v>17</v>
      </c>
      <c r="B22" t="s">
        <v>5</v>
      </c>
      <c r="C22">
        <v>2</v>
      </c>
    </row>
    <row r="23" spans="1:3">
      <c r="A23" t="s">
        <v>17</v>
      </c>
      <c r="B23" t="s">
        <v>9</v>
      </c>
      <c r="C23">
        <v>15</v>
      </c>
    </row>
    <row r="24" spans="1:3">
      <c r="A24" t="s">
        <v>17</v>
      </c>
      <c r="B24" t="s">
        <v>18</v>
      </c>
      <c r="C24">
        <v>7</v>
      </c>
    </row>
    <row r="25" spans="1:3">
      <c r="A25" t="s">
        <v>19</v>
      </c>
      <c r="B25" t="s">
        <v>20</v>
      </c>
      <c r="C25">
        <v>20</v>
      </c>
    </row>
    <row r="26" spans="1:3">
      <c r="A26" t="s">
        <v>19</v>
      </c>
      <c r="B26" t="s">
        <v>6</v>
      </c>
      <c r="C26">
        <v>1</v>
      </c>
    </row>
    <row r="27" spans="1:3">
      <c r="A27" t="s">
        <v>19</v>
      </c>
      <c r="B27" t="s">
        <v>10</v>
      </c>
      <c r="C27">
        <v>1</v>
      </c>
    </row>
    <row r="28" spans="1:3">
      <c r="A28" t="s">
        <v>19</v>
      </c>
      <c r="B28" t="s">
        <v>4</v>
      </c>
      <c r="C28">
        <v>3</v>
      </c>
    </row>
    <row r="29" spans="1:3">
      <c r="A29" t="s">
        <v>19</v>
      </c>
      <c r="B29" t="s">
        <v>5</v>
      </c>
      <c r="C29">
        <v>1</v>
      </c>
    </row>
    <row r="30" spans="1:3">
      <c r="A30" t="s">
        <v>19</v>
      </c>
      <c r="B30" t="s">
        <v>21</v>
      </c>
      <c r="C30">
        <v>8</v>
      </c>
    </row>
    <row r="31" spans="1:3">
      <c r="A31" t="s">
        <v>19</v>
      </c>
      <c r="B31" t="s">
        <v>22</v>
      </c>
      <c r="C31">
        <v>4</v>
      </c>
    </row>
    <row r="32" spans="1:3">
      <c r="A32" t="s">
        <v>19</v>
      </c>
      <c r="B32" t="s">
        <v>23</v>
      </c>
      <c r="C32">
        <v>46</v>
      </c>
    </row>
    <row r="33" spans="1:3">
      <c r="A33" t="s">
        <v>19</v>
      </c>
      <c r="B33" t="s">
        <v>24</v>
      </c>
      <c r="C33">
        <v>1</v>
      </c>
    </row>
    <row r="34" spans="1:3">
      <c r="A34" t="s">
        <v>25</v>
      </c>
      <c r="B34" t="s">
        <v>23</v>
      </c>
      <c r="C34">
        <v>1</v>
      </c>
    </row>
    <row r="35" spans="1:3">
      <c r="A35" t="s">
        <v>25</v>
      </c>
      <c r="B35" t="s">
        <v>9</v>
      </c>
      <c r="C35">
        <v>1</v>
      </c>
    </row>
    <row r="36" spans="1:3">
      <c r="A36" t="s">
        <v>25</v>
      </c>
      <c r="B36" t="s">
        <v>5</v>
      </c>
      <c r="C36">
        <v>1</v>
      </c>
    </row>
    <row r="37" spans="1:3">
      <c r="A37" t="s">
        <v>25</v>
      </c>
      <c r="B37" t="s">
        <v>6</v>
      </c>
      <c r="C37">
        <v>2</v>
      </c>
    </row>
    <row r="38" spans="1:3">
      <c r="A38" t="s">
        <v>26</v>
      </c>
      <c r="B38" t="s">
        <v>4</v>
      </c>
      <c r="C38">
        <v>1</v>
      </c>
    </row>
    <row r="39" spans="1:3">
      <c r="A39" t="s">
        <v>26</v>
      </c>
      <c r="B39" t="s">
        <v>15</v>
      </c>
      <c r="C39">
        <v>1</v>
      </c>
    </row>
    <row r="40" spans="1:3">
      <c r="A40" t="s">
        <v>26</v>
      </c>
      <c r="B40" t="s">
        <v>9</v>
      </c>
      <c r="C40">
        <v>11</v>
      </c>
    </row>
    <row r="41" spans="1:3">
      <c r="A41" t="s">
        <v>26</v>
      </c>
      <c r="B41" t="s">
        <v>5</v>
      </c>
      <c r="C41">
        <v>3</v>
      </c>
    </row>
    <row r="42" spans="1:3">
      <c r="A42" t="s">
        <v>27</v>
      </c>
      <c r="B42" t="s">
        <v>4</v>
      </c>
      <c r="C42">
        <v>93</v>
      </c>
    </row>
    <row r="43" spans="1:3">
      <c r="A43" t="s">
        <v>27</v>
      </c>
      <c r="B43" t="s">
        <v>12</v>
      </c>
      <c r="C43">
        <v>248</v>
      </c>
    </row>
    <row r="44" spans="1:3">
      <c r="A44" t="s">
        <v>27</v>
      </c>
      <c r="B44" t="s">
        <v>28</v>
      </c>
      <c r="C44">
        <v>379</v>
      </c>
    </row>
    <row r="45" spans="1:3">
      <c r="A45" t="s">
        <v>27</v>
      </c>
      <c r="B45" t="s">
        <v>5</v>
      </c>
      <c r="C45">
        <v>53</v>
      </c>
    </row>
    <row r="46" spans="1:3">
      <c r="A46" t="s">
        <v>27</v>
      </c>
      <c r="B46" t="s">
        <v>9</v>
      </c>
      <c r="C46">
        <v>32</v>
      </c>
    </row>
    <row r="47" spans="1:3">
      <c r="A47" t="s">
        <v>27</v>
      </c>
      <c r="B47" t="s">
        <v>10</v>
      </c>
      <c r="C47">
        <v>98</v>
      </c>
    </row>
    <row r="48" spans="1:3">
      <c r="A48" t="s">
        <v>27</v>
      </c>
      <c r="B48" t="s">
        <v>18</v>
      </c>
      <c r="C48">
        <v>276</v>
      </c>
    </row>
    <row r="49" spans="1:3">
      <c r="A49" t="s">
        <v>27</v>
      </c>
      <c r="B49" t="s">
        <v>15</v>
      </c>
      <c r="C49">
        <v>5</v>
      </c>
    </row>
    <row r="50" spans="1:3">
      <c r="A50" t="s">
        <v>27</v>
      </c>
      <c r="B50" t="s">
        <v>6</v>
      </c>
      <c r="C50">
        <v>37</v>
      </c>
    </row>
    <row r="51" spans="1:3">
      <c r="A51" t="s">
        <v>29</v>
      </c>
      <c r="C51">
        <f>SUBTOTAL(109,Table1[Equipment Count])</f>
        <v>1582</v>
      </c>
    </row>
    <row r="52" spans="1:3">
      <c r="A52" t="s">
        <v>30</v>
      </c>
      <c r="C52">
        <f>AVERAGE(C2:C50)</f>
        <v>32.2857142857143</v>
      </c>
    </row>
    <row r="53" spans="1:3">
      <c r="A53" t="s">
        <v>31</v>
      </c>
      <c r="C53">
        <f>MIN(C2:C50)</f>
        <v>1</v>
      </c>
    </row>
    <row r="54" spans="1:3">
      <c r="A54" t="s">
        <v>32</v>
      </c>
      <c r="C54">
        <f>MAX(C2:C50)</f>
        <v>379</v>
      </c>
    </row>
    <row r="55" spans="1:3">
      <c r="A55" t="s">
        <v>33</v>
      </c>
      <c r="C55">
        <f>COUNT(C2:C50)</f>
        <v>49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5"/>
  <sheetViews>
    <sheetView topLeftCell="A31" workbookViewId="0">
      <selection activeCell="B4" sqref="B4"/>
    </sheetView>
  </sheetViews>
  <sheetFormatPr defaultColWidth="9" defaultRowHeight="14.5" outlineLevelCol="1"/>
  <cols>
    <col min="1" max="1" width="29.4545454545455" customWidth="1"/>
    <col min="2" max="2" width="22.0909090909091" customWidth="1"/>
  </cols>
  <sheetData>
    <row r="3" spans="1:2">
      <c r="A3" t="s">
        <v>34</v>
      </c>
      <c r="B3" t="s">
        <v>35</v>
      </c>
    </row>
    <row r="4" spans="1:2">
      <c r="A4" s="1" t="s">
        <v>27</v>
      </c>
      <c r="B4" s="2">
        <v>1221</v>
      </c>
    </row>
    <row r="5" spans="1:2">
      <c r="A5" s="3" t="s">
        <v>15</v>
      </c>
      <c r="B5" s="2">
        <v>5</v>
      </c>
    </row>
    <row r="6" spans="1:2">
      <c r="A6" s="3" t="s">
        <v>12</v>
      </c>
      <c r="B6" s="2">
        <v>248</v>
      </c>
    </row>
    <row r="7" spans="1:2">
      <c r="A7" s="3" t="s">
        <v>10</v>
      </c>
      <c r="B7" s="2">
        <v>98</v>
      </c>
    </row>
    <row r="8" spans="1:2">
      <c r="A8" s="3" t="s">
        <v>18</v>
      </c>
      <c r="B8" s="2">
        <v>276</v>
      </c>
    </row>
    <row r="9" spans="1:2">
      <c r="A9" s="3" t="s">
        <v>4</v>
      </c>
      <c r="B9" s="2">
        <v>93</v>
      </c>
    </row>
    <row r="10" spans="1:2">
      <c r="A10" s="3" t="s">
        <v>6</v>
      </c>
      <c r="B10" s="2">
        <v>37</v>
      </c>
    </row>
    <row r="11" spans="1:2">
      <c r="A11" s="3" t="s">
        <v>5</v>
      </c>
      <c r="B11" s="2">
        <v>53</v>
      </c>
    </row>
    <row r="12" spans="1:2">
      <c r="A12" s="3" t="s">
        <v>28</v>
      </c>
      <c r="B12" s="2">
        <v>379</v>
      </c>
    </row>
    <row r="13" spans="1:2">
      <c r="A13" s="3" t="s">
        <v>9</v>
      </c>
      <c r="B13" s="2">
        <v>32</v>
      </c>
    </row>
    <row r="14" spans="1:2">
      <c r="A14" s="1" t="s">
        <v>14</v>
      </c>
      <c r="B14" s="2">
        <v>109</v>
      </c>
    </row>
    <row r="15" spans="1:2">
      <c r="A15" s="3" t="s">
        <v>15</v>
      </c>
      <c r="B15" s="2">
        <v>9</v>
      </c>
    </row>
    <row r="16" spans="1:2">
      <c r="A16" s="3" t="s">
        <v>4</v>
      </c>
      <c r="B16" s="2">
        <v>24</v>
      </c>
    </row>
    <row r="17" spans="1:2">
      <c r="A17" s="3" t="s">
        <v>6</v>
      </c>
      <c r="B17" s="2">
        <v>48</v>
      </c>
    </row>
    <row r="18" spans="1:2">
      <c r="A18" s="3" t="s">
        <v>5</v>
      </c>
      <c r="B18" s="2">
        <v>27</v>
      </c>
    </row>
    <row r="19" spans="1:2">
      <c r="A19" s="3" t="s">
        <v>9</v>
      </c>
      <c r="B19" s="2">
        <v>1</v>
      </c>
    </row>
    <row r="20" spans="1:2">
      <c r="A20" s="1" t="s">
        <v>19</v>
      </c>
      <c r="B20" s="2">
        <v>85</v>
      </c>
    </row>
    <row r="21" spans="1:2">
      <c r="A21" s="3" t="s">
        <v>10</v>
      </c>
      <c r="B21" s="2">
        <v>1</v>
      </c>
    </row>
    <row r="22" spans="1:2">
      <c r="A22" s="3" t="s">
        <v>4</v>
      </c>
      <c r="B22" s="2">
        <v>3</v>
      </c>
    </row>
    <row r="23" spans="1:2">
      <c r="A23" s="3" t="s">
        <v>22</v>
      </c>
      <c r="B23" s="2">
        <v>4</v>
      </c>
    </row>
    <row r="24" spans="1:2">
      <c r="A24" s="3" t="s">
        <v>24</v>
      </c>
      <c r="B24" s="2">
        <v>1</v>
      </c>
    </row>
    <row r="25" spans="1:2">
      <c r="A25" s="3" t="s">
        <v>23</v>
      </c>
      <c r="B25" s="2">
        <v>46</v>
      </c>
    </row>
    <row r="26" spans="1:2">
      <c r="A26" s="3" t="s">
        <v>20</v>
      </c>
      <c r="B26" s="2">
        <v>20</v>
      </c>
    </row>
    <row r="27" spans="1:2">
      <c r="A27" s="3" t="s">
        <v>21</v>
      </c>
      <c r="B27" s="2">
        <v>8</v>
      </c>
    </row>
    <row r="28" spans="1:2">
      <c r="A28" s="3" t="s">
        <v>6</v>
      </c>
      <c r="B28" s="2">
        <v>1</v>
      </c>
    </row>
    <row r="29" spans="1:2">
      <c r="A29" s="3" t="s">
        <v>5</v>
      </c>
      <c r="B29" s="2">
        <v>1</v>
      </c>
    </row>
    <row r="30" spans="1:2">
      <c r="A30" s="1" t="s">
        <v>11</v>
      </c>
      <c r="B30" s="2">
        <v>56</v>
      </c>
    </row>
    <row r="31" spans="1:2">
      <c r="A31" s="3" t="s">
        <v>12</v>
      </c>
      <c r="B31" s="2">
        <v>42</v>
      </c>
    </row>
    <row r="32" spans="1:2">
      <c r="A32" s="3" t="s">
        <v>6</v>
      </c>
      <c r="B32" s="2">
        <v>11</v>
      </c>
    </row>
    <row r="33" spans="1:2">
      <c r="A33" s="3" t="s">
        <v>5</v>
      </c>
      <c r="B33" s="2">
        <v>1</v>
      </c>
    </row>
    <row r="34" spans="1:2">
      <c r="A34" s="3" t="s">
        <v>9</v>
      </c>
      <c r="B34" s="2">
        <v>2</v>
      </c>
    </row>
    <row r="35" spans="1:2">
      <c r="A35" s="1" t="s">
        <v>3</v>
      </c>
      <c r="B35" s="2">
        <v>45</v>
      </c>
    </row>
    <row r="36" spans="1:2">
      <c r="A36" s="3" t="s">
        <v>4</v>
      </c>
      <c r="B36" s="2">
        <v>21</v>
      </c>
    </row>
    <row r="37" spans="1:2">
      <c r="A37" s="3" t="s">
        <v>6</v>
      </c>
      <c r="B37" s="2">
        <v>23</v>
      </c>
    </row>
    <row r="38" spans="1:2">
      <c r="A38" s="3" t="s">
        <v>5</v>
      </c>
      <c r="B38" s="2">
        <v>1</v>
      </c>
    </row>
    <row r="39" spans="1:2">
      <c r="A39" s="1" t="s">
        <v>17</v>
      </c>
      <c r="B39" s="2">
        <v>35</v>
      </c>
    </row>
    <row r="40" spans="1:2">
      <c r="A40" s="3" t="s">
        <v>18</v>
      </c>
      <c r="B40" s="2">
        <v>7</v>
      </c>
    </row>
    <row r="41" spans="1:2">
      <c r="A41" s="3" t="s">
        <v>4</v>
      </c>
      <c r="B41" s="2">
        <v>5</v>
      </c>
    </row>
    <row r="42" spans="1:2">
      <c r="A42" s="3" t="s">
        <v>6</v>
      </c>
      <c r="B42" s="2">
        <v>6</v>
      </c>
    </row>
    <row r="43" spans="1:2">
      <c r="A43" s="3" t="s">
        <v>5</v>
      </c>
      <c r="B43" s="2">
        <v>2</v>
      </c>
    </row>
    <row r="44" spans="1:2">
      <c r="A44" s="3" t="s">
        <v>9</v>
      </c>
      <c r="B44" s="2">
        <v>15</v>
      </c>
    </row>
    <row r="45" spans="1:2">
      <c r="A45" s="1" t="s">
        <v>26</v>
      </c>
      <c r="B45" s="2">
        <v>16</v>
      </c>
    </row>
    <row r="46" spans="1:2">
      <c r="A46" s="3" t="s">
        <v>15</v>
      </c>
      <c r="B46" s="2">
        <v>1</v>
      </c>
    </row>
    <row r="47" spans="1:2">
      <c r="A47" s="3" t="s">
        <v>4</v>
      </c>
      <c r="B47" s="2">
        <v>1</v>
      </c>
    </row>
    <row r="48" spans="1:2">
      <c r="A48" s="3" t="s">
        <v>5</v>
      </c>
      <c r="B48" s="2">
        <v>3</v>
      </c>
    </row>
    <row r="49" spans="1:2">
      <c r="A49" s="3" t="s">
        <v>9</v>
      </c>
      <c r="B49" s="2">
        <v>11</v>
      </c>
    </row>
    <row r="50" spans="1:2">
      <c r="A50" s="1" t="s">
        <v>8</v>
      </c>
      <c r="B50" s="2">
        <v>6</v>
      </c>
    </row>
    <row r="51" spans="1:2">
      <c r="A51" s="3" t="s">
        <v>10</v>
      </c>
      <c r="B51" s="2">
        <v>1</v>
      </c>
    </row>
    <row r="52" spans="1:2">
      <c r="A52" s="3" t="s">
        <v>4</v>
      </c>
      <c r="B52" s="2">
        <v>3</v>
      </c>
    </row>
    <row r="53" spans="1:2">
      <c r="A53" s="3" t="s">
        <v>9</v>
      </c>
      <c r="B53" s="2">
        <v>2</v>
      </c>
    </row>
    <row r="54" spans="1:2">
      <c r="A54" s="1" t="s">
        <v>25</v>
      </c>
      <c r="B54" s="2">
        <v>5</v>
      </c>
    </row>
    <row r="55" spans="1:2">
      <c r="A55" s="3" t="s">
        <v>23</v>
      </c>
      <c r="B55" s="2">
        <v>1</v>
      </c>
    </row>
    <row r="56" spans="1:2">
      <c r="A56" s="3" t="s">
        <v>6</v>
      </c>
      <c r="B56" s="2">
        <v>2</v>
      </c>
    </row>
    <row r="57" spans="1:2">
      <c r="A57" s="3" t="s">
        <v>5</v>
      </c>
      <c r="B57" s="2">
        <v>1</v>
      </c>
    </row>
    <row r="58" spans="1:2">
      <c r="A58" s="3" t="s">
        <v>9</v>
      </c>
      <c r="B58" s="2">
        <v>1</v>
      </c>
    </row>
    <row r="59" spans="1:2">
      <c r="A59" s="1" t="s">
        <v>7</v>
      </c>
      <c r="B59" s="2">
        <v>2</v>
      </c>
    </row>
    <row r="60" spans="1:2">
      <c r="A60" s="3" t="s">
        <v>6</v>
      </c>
      <c r="B60" s="2">
        <v>2</v>
      </c>
    </row>
    <row r="61" spans="1:2">
      <c r="A61" s="1" t="s">
        <v>13</v>
      </c>
      <c r="B61" s="2">
        <v>1</v>
      </c>
    </row>
    <row r="62" spans="1:2">
      <c r="A62" s="3" t="s">
        <v>5</v>
      </c>
      <c r="B62" s="2">
        <v>1</v>
      </c>
    </row>
    <row r="63" spans="1:2">
      <c r="A63" s="1" t="s">
        <v>16</v>
      </c>
      <c r="B63" s="2">
        <v>1</v>
      </c>
    </row>
    <row r="64" spans="1:2">
      <c r="A64" s="3" t="s">
        <v>9</v>
      </c>
      <c r="B64" s="2">
        <v>1</v>
      </c>
    </row>
    <row r="65" spans="1:2">
      <c r="A65" s="1" t="s">
        <v>36</v>
      </c>
      <c r="B65" s="2">
        <v>1582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5"/>
  <sheetViews>
    <sheetView workbookViewId="0">
      <selection activeCell="A4" sqref="A4"/>
    </sheetView>
  </sheetViews>
  <sheetFormatPr defaultColWidth="9" defaultRowHeight="14.5" outlineLevelCol="1"/>
  <cols>
    <col min="1" max="1" width="29.4545454545455" customWidth="1"/>
    <col min="2" max="2" width="22.0909090909091" customWidth="1"/>
  </cols>
  <sheetData>
    <row r="3" spans="1:2">
      <c r="A3" t="s">
        <v>34</v>
      </c>
      <c r="B3" t="s">
        <v>35</v>
      </c>
    </row>
    <row r="4" spans="1:2">
      <c r="A4" s="1" t="s">
        <v>27</v>
      </c>
      <c r="B4" s="2">
        <v>1221</v>
      </c>
    </row>
    <row r="5" spans="1:2">
      <c r="A5" s="3" t="s">
        <v>15</v>
      </c>
      <c r="B5" s="2">
        <v>5</v>
      </c>
    </row>
    <row r="6" spans="1:2">
      <c r="A6" s="3" t="s">
        <v>12</v>
      </c>
      <c r="B6" s="2">
        <v>248</v>
      </c>
    </row>
    <row r="7" spans="1:2">
      <c r="A7" s="3" t="s">
        <v>10</v>
      </c>
      <c r="B7" s="2">
        <v>98</v>
      </c>
    </row>
    <row r="8" spans="1:2">
      <c r="A8" s="3" t="s">
        <v>18</v>
      </c>
      <c r="B8" s="2">
        <v>276</v>
      </c>
    </row>
    <row r="9" spans="1:2">
      <c r="A9" s="3" t="s">
        <v>4</v>
      </c>
      <c r="B9" s="2">
        <v>93</v>
      </c>
    </row>
    <row r="10" spans="1:2">
      <c r="A10" s="3" t="s">
        <v>6</v>
      </c>
      <c r="B10" s="2">
        <v>37</v>
      </c>
    </row>
    <row r="11" spans="1:2">
      <c r="A11" s="3" t="s">
        <v>5</v>
      </c>
      <c r="B11" s="2">
        <v>53</v>
      </c>
    </row>
    <row r="12" spans="1:2">
      <c r="A12" s="3" t="s">
        <v>28</v>
      </c>
      <c r="B12" s="2">
        <v>379</v>
      </c>
    </row>
    <row r="13" spans="1:2">
      <c r="A13" s="3" t="s">
        <v>9</v>
      </c>
      <c r="B13" s="2">
        <v>32</v>
      </c>
    </row>
    <row r="14" spans="1:2">
      <c r="A14" s="1" t="s">
        <v>14</v>
      </c>
      <c r="B14" s="2">
        <v>109</v>
      </c>
    </row>
    <row r="15" spans="1:2">
      <c r="A15" s="1" t="s">
        <v>19</v>
      </c>
      <c r="B15" s="2">
        <v>85</v>
      </c>
    </row>
    <row r="16" spans="1:2">
      <c r="A16" s="1" t="s">
        <v>11</v>
      </c>
      <c r="B16" s="2">
        <v>56</v>
      </c>
    </row>
    <row r="17" spans="1:2">
      <c r="A17" s="1" t="s">
        <v>3</v>
      </c>
      <c r="B17" s="2">
        <v>45</v>
      </c>
    </row>
    <row r="18" spans="1:2">
      <c r="A18" s="1" t="s">
        <v>17</v>
      </c>
      <c r="B18" s="2">
        <v>35</v>
      </c>
    </row>
    <row r="19" spans="1:2">
      <c r="A19" s="1" t="s">
        <v>26</v>
      </c>
      <c r="B19" s="2">
        <v>16</v>
      </c>
    </row>
    <row r="20" spans="1:2">
      <c r="A20" s="1" t="s">
        <v>8</v>
      </c>
      <c r="B20" s="2">
        <v>6</v>
      </c>
    </row>
    <row r="21" spans="1:2">
      <c r="A21" s="1" t="s">
        <v>25</v>
      </c>
      <c r="B21" s="2">
        <v>5</v>
      </c>
    </row>
    <row r="22" spans="1:2">
      <c r="A22" s="1" t="s">
        <v>7</v>
      </c>
      <c r="B22" s="2">
        <v>2</v>
      </c>
    </row>
    <row r="23" spans="1:2">
      <c r="A23" s="1" t="s">
        <v>13</v>
      </c>
      <c r="B23" s="2">
        <v>1</v>
      </c>
    </row>
    <row r="24" spans="1:2">
      <c r="A24" s="1" t="s">
        <v>16</v>
      </c>
      <c r="B24" s="2">
        <v>1</v>
      </c>
    </row>
    <row r="25" spans="1:2">
      <c r="A25" s="1" t="s">
        <v>36</v>
      </c>
      <c r="B25" s="2">
        <v>1582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1"/>
  <sheetViews>
    <sheetView workbookViewId="0">
      <selection activeCell="A4" sqref="A4"/>
    </sheetView>
  </sheetViews>
  <sheetFormatPr defaultColWidth="9" defaultRowHeight="14.5" outlineLevelCol="1"/>
  <cols>
    <col min="1" max="1" width="26.3636363636364" customWidth="1"/>
    <col min="2" max="2" width="22.0909090909091" customWidth="1"/>
  </cols>
  <sheetData>
    <row r="3" spans="1:2">
      <c r="A3" t="s">
        <v>34</v>
      </c>
      <c r="B3" t="s">
        <v>35</v>
      </c>
    </row>
    <row r="4" spans="1:2">
      <c r="A4" s="1" t="s">
        <v>15</v>
      </c>
      <c r="B4" s="2">
        <v>15</v>
      </c>
    </row>
    <row r="5" spans="1:2">
      <c r="A5" s="3" t="s">
        <v>14</v>
      </c>
      <c r="B5" s="2">
        <v>9</v>
      </c>
    </row>
    <row r="6" spans="1:2">
      <c r="A6" s="3" t="s">
        <v>27</v>
      </c>
      <c r="B6" s="2">
        <v>5</v>
      </c>
    </row>
    <row r="7" spans="1:2">
      <c r="A7" s="3" t="s">
        <v>26</v>
      </c>
      <c r="B7" s="2">
        <v>1</v>
      </c>
    </row>
    <row r="8" spans="1:2">
      <c r="A8" s="1" t="s">
        <v>12</v>
      </c>
      <c r="B8" s="2">
        <v>290</v>
      </c>
    </row>
    <row r="9" spans="1:2">
      <c r="A9" s="1" t="s">
        <v>10</v>
      </c>
      <c r="B9" s="2">
        <v>100</v>
      </c>
    </row>
    <row r="10" spans="1:2">
      <c r="A10" s="1" t="s">
        <v>18</v>
      </c>
      <c r="B10" s="2">
        <v>283</v>
      </c>
    </row>
    <row r="11" spans="1:2">
      <c r="A11" s="1" t="s">
        <v>4</v>
      </c>
      <c r="B11" s="2">
        <v>150</v>
      </c>
    </row>
    <row r="12" spans="1:2">
      <c r="A12" s="1" t="s">
        <v>22</v>
      </c>
      <c r="B12" s="2">
        <v>4</v>
      </c>
    </row>
    <row r="13" spans="1:2">
      <c r="A13" s="1" t="s">
        <v>24</v>
      </c>
      <c r="B13" s="2">
        <v>1</v>
      </c>
    </row>
    <row r="14" spans="1:2">
      <c r="A14" s="1" t="s">
        <v>23</v>
      </c>
      <c r="B14" s="2">
        <v>47</v>
      </c>
    </row>
    <row r="15" spans="1:2">
      <c r="A15" s="1" t="s">
        <v>20</v>
      </c>
      <c r="B15" s="2">
        <v>20</v>
      </c>
    </row>
    <row r="16" spans="1:2">
      <c r="A16" s="1" t="s">
        <v>21</v>
      </c>
      <c r="B16" s="2">
        <v>8</v>
      </c>
    </row>
    <row r="17" spans="1:2">
      <c r="A17" s="1" t="s">
        <v>6</v>
      </c>
      <c r="B17" s="2">
        <v>130</v>
      </c>
    </row>
    <row r="18" spans="1:2">
      <c r="A18" s="1" t="s">
        <v>5</v>
      </c>
      <c r="B18" s="2">
        <v>90</v>
      </c>
    </row>
    <row r="19" spans="1:2">
      <c r="A19" s="1" t="s">
        <v>28</v>
      </c>
      <c r="B19" s="2">
        <v>379</v>
      </c>
    </row>
    <row r="20" spans="1:2">
      <c r="A20" s="1" t="s">
        <v>9</v>
      </c>
      <c r="B20" s="2">
        <v>65</v>
      </c>
    </row>
    <row r="21" spans="1:2">
      <c r="A21" s="1" t="s">
        <v>36</v>
      </c>
      <c r="B21" s="2">
        <v>1582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Montgomery_Fleet_Equipment_Inve</vt:lpstr>
      <vt:lpstr>Pivot table 1</vt:lpstr>
      <vt:lpstr>Pivot table 2</vt:lpstr>
      <vt:lpstr>Pivot 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NURIN</dc:creator>
  <cp:lastModifiedBy>NURIN</cp:lastModifiedBy>
  <dcterms:created xsi:type="dcterms:W3CDTF">2020-09-01T17:18:00Z</dcterms:created>
  <dcterms:modified xsi:type="dcterms:W3CDTF">2026-10-25T13:44:48Z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682D4F4F1BA74A699762CD6C0AA849D4_12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